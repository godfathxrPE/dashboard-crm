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коркарта" sheetId="2" state="visible" r:id="rId4"/>
    <sheet name="Критерии" sheetId="3" state="visible" r:id="rId5"/>
    <sheet name="Что забрат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<sst xmlns="http://schemas.openxmlformats.org/spreadsheetml/2006/main" count="178" uniqueCount="140">
  <si>
    <t xml:space="preserve">dashboard-crm — скоркарта против топ-5 CRM (multi-user продукт)</t>
  </si>
  <si>
    <t xml:space="preserve">Оценка твоей CRM относительно мировых лидеров. Цель проекта — многопользовательский продукт, веса выставлены под это.</t>
  </si>
  <si>
    <t xml:space="preserve">Как пользоваться</t>
  </si>
  <si>
    <t xml:space="preserve">1. Лист «Скоркарта» — основная матрица. Правь оценки в колонках CRM, итог по весам пересчитается сам (0–100).</t>
  </si>
  <si>
    <t xml:space="preserve">2. Шкала оценки каждого домена: 0 — нет, 1 — базово, 2 — хорошо, 3 — на уровне лидеров.</t>
  </si>
  <si>
    <t xml:space="preserve">3. Колонка «Твоя CRM» (оранжевая) предзаполнена по референсам crm-architect — это стартовая точка, уточняй.</t>
  </si>
  <si>
    <t xml:space="preserve">4. Оценки топ-5 предзаполнены ~3 (где ниже — отмечено). Синие ячейки = редактируемые входные данные.</t>
  </si>
  <si>
    <t xml:space="preserve">5. Веса (колонка B) отражают важность домена ИМЕННО для multi-user продукта и в сумме = 100. Меняй под свой приоритет — контроль суммы в строке «Проверка веса».</t>
  </si>
  <si>
    <t xml:space="preserve">6. Лист «Критерии» — что конкретно проверять в каждом домене. Лист «Что забрать» — backlog заимствований с приоритетом.</t>
  </si>
  <si>
    <t xml:space="preserve">Что изменил переход на multi-user</t>
  </si>
  <si>
    <t xml:space="preserve">• Безопасность/мультитенантность: вес 5 → 10. Твой single-user RLS (auth.uid()=user_id) для продукта не годится — нужен org_id + membership + RBAC.</t>
  </si>
  <si>
    <t xml:space="preserve">• Коллаборация: вес 2 → 9. Команды, назначение записей, @mentions становятся частью ядра.</t>
  </si>
  <si>
    <t xml:space="preserve">• Коммуникации и автоматизация остаются самыми тяжёлыми весами — там же твои главные нули.</t>
  </si>
  <si>
    <t xml:space="preserve">Источники оценок: crm-architect (schema/architecture/theme), Gartner MQ SFA 2025, Forrester Wave CRM Q1 2025, IDC market share 2026.</t>
  </si>
  <si>
    <t xml:space="preserve">СКОРКАРТА: dashboard-crm vs Топ-5  •  шкала 0–3  •  итог 0–100 (авто)</t>
  </si>
  <si>
    <t xml:space="preserve">Домен</t>
  </si>
  <si>
    <t xml:space="preserve">Вес</t>
  </si>
  <si>
    <t xml:space="preserve">Твоя CRM</t>
  </si>
  <si>
    <t xml:space="preserve">Salesforce</t>
  </si>
  <si>
    <t xml:space="preserve">HubSpot</t>
  </si>
  <si>
    <t xml:space="preserve">Dynamics 365</t>
  </si>
  <si>
    <t xml:space="preserve">Zoho</t>
  </si>
  <si>
    <t xml:space="preserve">Oracle</t>
  </si>
  <si>
    <t xml:space="preserve">Ключевой gap / комментарий</t>
  </si>
  <si>
    <t xml:space="preserve">Модель данных и объекты</t>
  </si>
  <si>
    <t xml:space="preserve">нет кастом-полей, продуктов/КП-позиций, мультитенантности (org_id)</t>
  </si>
  <si>
    <t xml:space="preserve">Pipeline и сделки</t>
  </si>
  <si>
    <t xml:space="preserve">доменный pipeline — сильная сторона; нет forecast и стадийных гейтов</t>
  </si>
  <si>
    <t xml:space="preserve">Активности (задачи/звонки/встречи/календарь)</t>
  </si>
  <si>
    <t xml:space="preserve">сильно; нет email-логирования и системы напоминаний</t>
  </si>
  <si>
    <t xml:space="preserve">Коммуникации и интеграции</t>
  </si>
  <si>
    <t xml:space="preserve">только Excel/CSV; нет email, телефонии, синка календаря, мессенджеров, API</t>
  </si>
  <si>
    <t xml:space="preserve">Автоматизация и workflow</t>
  </si>
  <si>
    <t xml:space="preserve">нет автоматизаций — для продукта критично</t>
  </si>
  <si>
    <t xml:space="preserve">AI</t>
  </si>
  <si>
    <t xml:space="preserve">нет AI; есть Claude API + llm-integration-architect</t>
  </si>
  <si>
    <t xml:space="preserve">Отчётность и аналитика</t>
  </si>
  <si>
    <t xml:space="preserve">нет конструктора отчётов и per-user командных метрик</t>
  </si>
  <si>
    <t xml:space="preserve">UX и юзабилити</t>
  </si>
  <si>
    <t xml:space="preserve">дизайн-система сильна; нет онбординга, global search, a11y</t>
  </si>
  <si>
    <t xml:space="preserve">Качество данных</t>
  </si>
  <si>
    <t xml:space="preserve">есть Zod + импорт-маппинг; нет дедупа и обогащения</t>
  </si>
  <si>
    <t xml:space="preserve">Безопасность, доступы, мультитенантность</t>
  </si>
  <si>
    <t xml:space="preserve">single-user RLS; нет RBAC и tenant isolation — P0 для продукта</t>
  </si>
  <si>
    <t xml:space="preserve">Коллаборация / multi-user</t>
  </si>
  <si>
    <t xml:space="preserve">только событие comment; нет команд, назначения, @mentions</t>
  </si>
  <si>
    <t xml:space="preserve">ИТОГ по весам (0–100)</t>
  </si>
  <si>
    <t xml:space="preserve">Максимум = 100. Твоя CRM оранжевая.</t>
  </si>
  <si>
    <t xml:space="preserve">Проверка веса (должно быть 100)</t>
  </si>
  <si>
    <t xml:space="preserve">ЧЕК-ЛИСТ КРИТЕРИЕВ ПО ДОМЕНАМ</t>
  </si>
  <si>
    <t xml:space="preserve">Что проверяем</t>
  </si>
  <si>
    <t xml:space="preserve">Как оценить (0 → 3)</t>
  </si>
  <si>
    <t xml:space="preserve">Компании, контакты, сделки; M:N-связи; кастомные поля; продукты/КП-позиции; мультитенантность (org_id/workspace)</t>
  </si>
  <si>
    <t xml:space="preserve">0 — базовые сущности; 2 — гибкие связи; 3 — кастом-поля + продукты + tenant-модель</t>
  </si>
  <si>
    <t xml:space="preserve">Визуальный канбан; несколько воронок; вероятность/rotting; forecast; обязательные гейты на стадиях</t>
  </si>
  <si>
    <t xml:space="preserve">0 — линейный статус; 2 — канбан + этапы; 3 — мульти-воронки + forecast + гейты</t>
  </si>
  <si>
    <t xml:space="preserve">Активности</t>
  </si>
  <si>
    <t xml:space="preserve">Задачи, звонки, встречи, календарь; единый timeline записи; напоминания и дедлайны</t>
  </si>
  <si>
    <t xml:space="preserve">0 — разрозненно; 2 — все типы + timeline; 3 — + напоминания и SLA</t>
  </si>
  <si>
    <t xml:space="preserve">Email 2-way; телефония/click-to-call; синк календаря (Google/Yandex); мессенджеры (Telegram); публичный API/webhooks</t>
  </si>
  <si>
    <t xml:space="preserve">0 — импорт/экспорт; 2 — email + календарь; 3 — + телефония/мессенджеры + API</t>
  </si>
  <si>
    <t xml:space="preserve">Триггер → действие; sequences/cadence; шаблоны писем и документов; автозадачи по стадии</t>
  </si>
  <si>
    <t xml:space="preserve">0 — вручную; 2 — базовые правила; 3 — визуальный конструктор + sequences</t>
  </si>
  <si>
    <t xml:space="preserve">Саммари звонков/встреч; драфт писем и КП; скоринг лидов; agentic-агенты</t>
  </si>
  <si>
    <t xml:space="preserve">0 — нет; 2 — ассист (саммари/драфты); 3 — скоринг + автономные агенты</t>
  </si>
  <si>
    <t xml:space="preserve">Дашборд/KPI; воронка; кастомные отчёты; per-user командные метрики; экспорт</t>
  </si>
  <si>
    <t xml:space="preserve">0 — фикс-чарты; 2 — воронка + экспорт; 3 — конструктор отчётов + командные дашборды</t>
  </si>
  <si>
    <t xml:space="preserve">Онбординг/empty states; скорость; global search/командная палитра; клавиатура/a11y; mobile; bulk actions</t>
  </si>
  <si>
    <t xml:space="preserve">0 — работает; 2 — чисто + bulk; 3 — онбординг + global search + a11y-полиш</t>
  </si>
  <si>
    <t xml:space="preserve">Импорт/экспорт; валидация ввода; дедупликация; обогащение (ИНН/ЕГРЮЛ)</t>
  </si>
  <si>
    <t xml:space="preserve">0 — ручной ввод; 2 — импорт + валидация; 3 — + дедуп + обогащение</t>
  </si>
  <si>
    <t xml:space="preserve">Изоляция данных арендаторов; RBAC-роли; audit log; бэкап/экспорт; 152-ФЗ/GDPR</t>
  </si>
  <si>
    <t xml:space="preserve">0 — один пользователь; 2 — RLS + аудит; 3 — RBAC + tenant isolation + соответствие</t>
  </si>
  <si>
    <t xml:space="preserve">Команды/рабочие пространства; назначение и владение записями; @mentions/комментарии; уведомления</t>
  </si>
  <si>
    <t xml:space="preserve">0 — соло; 2 — назначение + комменты; 3 — команды + @mentions + уведомления</t>
  </si>
  <si>
    <t xml:space="preserve">BACKLOG ЗАИМСТВОВАНИЙ  •  P0 фундамент → P1 леверейдж → P2 полиш</t>
  </si>
  <si>
    <t xml:space="preserve">Приоритет</t>
  </si>
  <si>
    <t xml:space="preserve">Что забрать</t>
  </si>
  <si>
    <t xml:space="preserve">Откуда</t>
  </si>
  <si>
    <t xml:space="preserve">Почему стоит (кратко)</t>
  </si>
  <si>
    <t xml:space="preserve">Усилие</t>
  </si>
  <si>
    <t xml:space="preserve">Зависит от</t>
  </si>
  <si>
    <t xml:space="preserve">Скилл</t>
  </si>
  <si>
    <t xml:space="preserve">P0</t>
  </si>
  <si>
    <t xml:space="preserve">Мультитенантность (org/workspace + membership)</t>
  </si>
  <si>
    <t xml:space="preserve">Все топ-5</t>
  </si>
  <si>
    <t xml:space="preserve">Без изоляции данных арендаторов продукт невозможен. Рефактор RLS с auth.uid()=user_id на membership-модель.</t>
  </si>
  <si>
    <t xml:space="preserve">L</t>
  </si>
  <si>
    <t xml:space="preserve">—</t>
  </si>
  <si>
    <t xml:space="preserve">supabase-patterns, security-privacy-reviewer</t>
  </si>
  <si>
    <t xml:space="preserve">RBAC-роли (owner/admin/manager/viewer)</t>
  </si>
  <si>
    <t xml:space="preserve">Salesforce, D365</t>
  </si>
  <si>
    <t xml:space="preserve">Командные продажи требуют разграничения: кто видит чужие сделки, кто редактирует.</t>
  </si>
  <si>
    <t xml:space="preserve">M</t>
  </si>
  <si>
    <t xml:space="preserve">Мультитенантность</t>
  </si>
  <si>
    <t xml:space="preserve">Владение и назначение записей (owner_id)</t>
  </si>
  <si>
    <t xml:space="preserve">Все</t>
  </si>
  <si>
    <t xml:space="preserve">Без owner нет командной воронки, распределения лидов и per-user отчётов.</t>
  </si>
  <si>
    <t xml:space="preserve">crm-architect, supabase-patterns</t>
  </si>
  <si>
    <t xml:space="preserve">P1</t>
  </si>
  <si>
    <t xml:space="preserve">Email + Telegram логирование в карточке</t>
  </si>
  <si>
    <t xml:space="preserve">Закрывает главный ноль (коммуникации). Telegram релевантнее Teams для РФ и маркировки.</t>
  </si>
  <si>
    <t xml:space="preserve">M-L</t>
  </si>
  <si>
    <t xml:space="preserve">API-слой</t>
  </si>
  <si>
    <t xml:space="preserve">api-architect, llm-integration-architect</t>
  </si>
  <si>
    <t xml:space="preserve">Blueprint / стадийные гейты</t>
  </si>
  <si>
    <t xml:space="preserve">Процесс ЧЗ строгий (эксперимент→трёхсторонняя→КП). Гейты не дают проскочить стадию без артефакта.</t>
  </si>
  <si>
    <t xml:space="preserve">Pipeline (есть)</t>
  </si>
  <si>
    <t xml:space="preserve">crm-architect, forms-architect</t>
  </si>
  <si>
    <t xml:space="preserve">AI-саммари звонков/встреч + драфт КП</t>
  </si>
  <si>
    <t xml:space="preserve">Zoho Zia, SF Einstein</t>
  </si>
  <si>
    <t xml:space="preserve">Прямой профит консультанту, малый объём. Связка с kp-master для генерации КП.</t>
  </si>
  <si>
    <t xml:space="preserve">S-M</t>
  </si>
  <si>
    <t xml:space="preserve">Claude API</t>
  </si>
  <si>
    <t xml:space="preserve">llm-integration-architect, kp-master</t>
  </si>
  <si>
    <t xml:space="preserve">Лёгкая автоматизация (триггер→действие)</t>
  </si>
  <si>
    <t xml:space="preserve">Salesforce Flow</t>
  </si>
  <si>
    <t xml:space="preserve">«Стадия изменилась → автозадача/напоминание» поверх существующих Postgres-триггеров.</t>
  </si>
  <si>
    <t xml:space="preserve">owner_id, activity_log</t>
  </si>
  <si>
    <t xml:space="preserve">supabase-patterns, api-architect</t>
  </si>
  <si>
    <t xml:space="preserve">Уведомления (in-app + email)</t>
  </si>
  <si>
    <t xml:space="preserve">Назначение задачи без уведомления бесполезно. Ядро командного продукта.</t>
  </si>
  <si>
    <t xml:space="preserve">Владение записями</t>
  </si>
  <si>
    <t xml:space="preserve">api-architect</t>
  </si>
  <si>
    <t xml:space="preserve">P2</t>
  </si>
  <si>
    <t xml:space="preserve">Онбординг + empty states + product tour</t>
  </si>
  <si>
    <t xml:space="preserve">Для self-serve multi-user продукта критичен онбординг без ручного внедрения.</t>
  </si>
  <si>
    <t xml:space="preserve">design-system-architect, copy-calm</t>
  </si>
  <si>
    <t xml:space="preserve">Global search / командная палитра</t>
  </si>
  <si>
    <t xml:space="preserve">HubSpot, Linear</t>
  </si>
  <si>
    <t xml:space="preserve">Скорость менеджера при росте объёма данных. Cmd+K по всем сущностям.</t>
  </si>
  <si>
    <t xml:space="preserve">S</t>
  </si>
  <si>
    <t xml:space="preserve">web-design-studio</t>
  </si>
  <si>
    <t xml:space="preserve">Конструктор отчётов + командные дашборды</t>
  </si>
  <si>
    <t xml:space="preserve">Руководителю нужны per-manager метрики и настраиваемые срезы.</t>
  </si>
  <si>
    <t xml:space="preserve">owner_id, отчётность</t>
  </si>
  <si>
    <t xml:space="preserve">Кастомные поля</t>
  </si>
  <si>
    <t xml:space="preserve">Salesforce, Zoho</t>
  </si>
  <si>
    <t xml:space="preserve">Продукт под разных клиентов требует гибкой схемы без миграций под каждого.</t>
  </si>
  <si>
    <t xml:space="preserve">Модель данных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</si>
</sst>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color rgb="FF222222"/>
      <name val="Arial"/>
      <family val="0"/>
      <charset val="1"/>
    </font>
    <font>
      <sz val="6"/>
      <color rgb="FF222222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1155CC"/>
      <name val="Arial"/>
      <family val="0"/>
      <charset val="1"/>
    </font>
    <font>
      <sz val="10"/>
      <color rgb="FF1155CC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2A6F97"/>
      <name val="Arial"/>
      <family val="0"/>
      <charset val="1"/>
    </font>
    <font>
      <b val="true"/>
      <sz val="9"/>
      <color rgb="FF1F2A44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2A6F97"/>
        <bgColor rgb="FF008080"/>
      </patternFill>
    </fill>
    <fill>
      <patternFill patternType="solid">
        <fgColor rgb="FFFFFFFF"/>
        <bgColor rgb="FFF2F2F0"/>
      </patternFill>
    </fill>
    <fill>
      <patternFill patternType="solid">
        <fgColor rgb="FFEAF1F6"/>
        <bgColor rgb="FFF2F2F0"/>
      </patternFill>
    </fill>
    <fill>
      <patternFill patternType="solid">
        <fgColor rgb="FFFDE7C9"/>
        <bgColor rgb="FFF2F2F0"/>
      </patternFill>
    </fill>
    <fill>
      <patternFill patternType="solid">
        <fgColor rgb="FFF2F2F0"/>
        <bgColor rgb="FFEAF1F6"/>
      </patternFill>
    </fill>
    <fill>
      <patternFill patternType="solid">
        <fgColor rgb="FFC0392B"/>
        <bgColor rgb="FF993366"/>
      </patternFill>
    </fill>
    <fill>
      <patternFill patternType="solid">
        <fgColor rgb="FFB9770E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2A6F97"/>
      <rgbColor rgb="FFC0C0C0"/>
      <rgbColor rgb="FF888888"/>
      <rgbColor rgb="FF9999FF"/>
      <rgbColor rgb="FF993366"/>
      <rgbColor rgb="FFF2F2F0"/>
      <rgbColor rgb="FFEAF1F6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C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44"/>
      <rgbColor rgb="FF339966"/>
      <rgbColor rgb="FF003300"/>
      <rgbColor rgb="FF222222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1" customFormat="false" ht="19.7" hidden="false" customHeight="false" outlineLevel="0" collapsed="false">
      <c r="B1" s="1" t="s">
        <v>0</v>
      </c>
    </row>
    <row r="2" customFormat="false" ht="23.8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23.85" hidden="false" customHeight="false" outlineLevel="0" collapsed="false">
      <c r="B9" s="4" t="s">
        <v>7</v>
      </c>
    </row>
    <row r="10" customFormat="false" ht="23.8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5"/>
    </row>
    <row r="12" customFormat="false" ht="15" hidden="false" customHeight="false" outlineLevel="0" collapsed="false">
      <c r="B12" s="3" t="s">
        <v>9</v>
      </c>
    </row>
    <row r="13" customFormat="false" ht="23.8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/>
    </row>
    <row r="17" customFormat="false" ht="22.35" hidden="false" customHeight="false" outlineLevel="0" collapsed="false">
      <c r="B1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7" t="s">
        <v>14</v>
      </c>
      <c r="B1" s="7"/>
      <c r="C1" s="7"/>
      <c r="D1" s="7"/>
      <c r="E1" s="7"/>
      <c r="F1" s="7"/>
      <c r="G1" s="7"/>
      <c r="H1" s="7"/>
      <c r="I1" s="7"/>
    </row>
    <row r="2" customFormat="false" ht="30" hidden="false" customHeight="true" outlineLevel="0" collapsed="false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</row>
    <row r="3" customFormat="false" ht="30" hidden="false" customHeight="true" outlineLevel="0" collapsed="false">
      <c r="A3" s="9" t="s">
        <v>24</v>
      </c>
      <c r="B3" s="10" t="n">
        <v>9</v>
      </c>
      <c r="C3" s="11" t="n">
        <v>1.5</v>
      </c>
      <c r="D3" s="12" t="n">
        <v>3</v>
      </c>
      <c r="E3" s="12" t="n">
        <v>3</v>
      </c>
      <c r="F3" s="12" t="n">
        <v>3</v>
      </c>
      <c r="G3" s="12" t="n">
        <v>3</v>
      </c>
      <c r="H3" s="12" t="n">
        <v>3</v>
      </c>
      <c r="I3" s="13" t="s">
        <v>25</v>
      </c>
    </row>
    <row r="4" customFormat="false" ht="30" hidden="false" customHeight="true" outlineLevel="0" collapsed="false">
      <c r="A4" s="14" t="s">
        <v>26</v>
      </c>
      <c r="B4" s="10" t="n">
        <v>10</v>
      </c>
      <c r="C4" s="11" t="n">
        <v>2.5</v>
      </c>
      <c r="D4" s="12" t="n">
        <v>3</v>
      </c>
      <c r="E4" s="12" t="n">
        <v>3</v>
      </c>
      <c r="F4" s="12" t="n">
        <v>3</v>
      </c>
      <c r="G4" s="12" t="n">
        <v>3</v>
      </c>
      <c r="H4" s="12" t="n">
        <v>3</v>
      </c>
      <c r="I4" s="15" t="s">
        <v>27</v>
      </c>
    </row>
    <row r="5" customFormat="false" ht="30" hidden="false" customHeight="true" outlineLevel="0" collapsed="false">
      <c r="A5" s="9" t="s">
        <v>28</v>
      </c>
      <c r="B5" s="10" t="n">
        <v>9</v>
      </c>
      <c r="C5" s="11" t="n">
        <v>2.5</v>
      </c>
      <c r="D5" s="12" t="n">
        <v>3</v>
      </c>
      <c r="E5" s="12" t="n">
        <v>3</v>
      </c>
      <c r="F5" s="12" t="n">
        <v>3</v>
      </c>
      <c r="G5" s="12" t="n">
        <v>3</v>
      </c>
      <c r="H5" s="12" t="n">
        <v>3</v>
      </c>
      <c r="I5" s="13" t="s">
        <v>29</v>
      </c>
    </row>
    <row r="6" customFormat="false" ht="30" hidden="false" customHeight="true" outlineLevel="0" collapsed="false">
      <c r="A6" s="14" t="s">
        <v>30</v>
      </c>
      <c r="B6" s="10" t="n">
        <v>11</v>
      </c>
      <c r="C6" s="11" t="n">
        <v>0.5</v>
      </c>
      <c r="D6" s="12" t="n">
        <v>3</v>
      </c>
      <c r="E6" s="12" t="n">
        <v>3</v>
      </c>
      <c r="F6" s="12" t="n">
        <v>3</v>
      </c>
      <c r="G6" s="12" t="n">
        <v>3</v>
      </c>
      <c r="H6" s="12" t="n">
        <v>3</v>
      </c>
      <c r="I6" s="15" t="s">
        <v>31</v>
      </c>
    </row>
    <row r="7" customFormat="false" ht="30" hidden="false" customHeight="true" outlineLevel="0" collapsed="false">
      <c r="A7" s="9" t="s">
        <v>32</v>
      </c>
      <c r="B7" s="10" t="n">
        <v>11</v>
      </c>
      <c r="C7" s="11" t="n">
        <v>0</v>
      </c>
      <c r="D7" s="12" t="n">
        <v>3</v>
      </c>
      <c r="E7" s="12" t="n">
        <v>2.5</v>
      </c>
      <c r="F7" s="12" t="n">
        <v>3</v>
      </c>
      <c r="G7" s="12" t="n">
        <v>3</v>
      </c>
      <c r="H7" s="12" t="n">
        <v>3</v>
      </c>
      <c r="I7" s="13" t="s">
        <v>33</v>
      </c>
    </row>
    <row r="8" customFormat="false" ht="30" hidden="false" customHeight="true" outlineLevel="0" collapsed="false">
      <c r="A8" s="14" t="s">
        <v>34</v>
      </c>
      <c r="B8" s="10" t="n">
        <v>9</v>
      </c>
      <c r="C8" s="11" t="n">
        <v>0</v>
      </c>
      <c r="D8" s="12" t="n">
        <v>3</v>
      </c>
      <c r="E8" s="12" t="n">
        <v>2.5</v>
      </c>
      <c r="F8" s="12" t="n">
        <v>3</v>
      </c>
      <c r="G8" s="12" t="n">
        <v>2.5</v>
      </c>
      <c r="H8" s="12" t="n">
        <v>2.5</v>
      </c>
      <c r="I8" s="15" t="s">
        <v>35</v>
      </c>
    </row>
    <row r="9" customFormat="false" ht="30" hidden="false" customHeight="true" outlineLevel="0" collapsed="false">
      <c r="A9" s="9" t="s">
        <v>36</v>
      </c>
      <c r="B9" s="10" t="n">
        <v>8</v>
      </c>
      <c r="C9" s="11" t="n">
        <v>2</v>
      </c>
      <c r="D9" s="12" t="n">
        <v>3</v>
      </c>
      <c r="E9" s="12" t="n">
        <v>2.5</v>
      </c>
      <c r="F9" s="12" t="n">
        <v>3</v>
      </c>
      <c r="G9" s="12" t="n">
        <v>2.5</v>
      </c>
      <c r="H9" s="12" t="n">
        <v>3</v>
      </c>
      <c r="I9" s="13" t="s">
        <v>37</v>
      </c>
    </row>
    <row r="10" customFormat="false" ht="30" hidden="false" customHeight="true" outlineLevel="0" collapsed="false">
      <c r="A10" s="14" t="s">
        <v>38</v>
      </c>
      <c r="B10" s="10" t="n">
        <v>10</v>
      </c>
      <c r="C10" s="11" t="n">
        <v>2.5</v>
      </c>
      <c r="D10" s="12" t="n">
        <v>2</v>
      </c>
      <c r="E10" s="12" t="n">
        <v>3</v>
      </c>
      <c r="F10" s="12" t="n">
        <v>2</v>
      </c>
      <c r="G10" s="12" t="n">
        <v>2.5</v>
      </c>
      <c r="H10" s="12" t="n">
        <v>2</v>
      </c>
      <c r="I10" s="15" t="s">
        <v>39</v>
      </c>
    </row>
    <row r="11" customFormat="false" ht="30" hidden="false" customHeight="true" outlineLevel="0" collapsed="false">
      <c r="A11" s="9" t="s">
        <v>40</v>
      </c>
      <c r="B11" s="10" t="n">
        <v>4</v>
      </c>
      <c r="C11" s="11" t="n">
        <v>1.5</v>
      </c>
      <c r="D11" s="12" t="n">
        <v>3</v>
      </c>
      <c r="E11" s="12" t="n">
        <v>2.5</v>
      </c>
      <c r="F11" s="12" t="n">
        <v>2.5</v>
      </c>
      <c r="G11" s="12" t="n">
        <v>2.5</v>
      </c>
      <c r="H11" s="12" t="n">
        <v>3</v>
      </c>
      <c r="I11" s="13" t="s">
        <v>41</v>
      </c>
    </row>
    <row r="12" customFormat="false" ht="30" hidden="false" customHeight="true" outlineLevel="0" collapsed="false">
      <c r="A12" s="14" t="s">
        <v>42</v>
      </c>
      <c r="B12" s="10" t="n">
        <v>10</v>
      </c>
      <c r="C12" s="11" t="n">
        <v>1</v>
      </c>
      <c r="D12" s="12" t="n">
        <v>3</v>
      </c>
      <c r="E12" s="12" t="n">
        <v>3</v>
      </c>
      <c r="F12" s="12" t="n">
        <v>3</v>
      </c>
      <c r="G12" s="12" t="n">
        <v>3</v>
      </c>
      <c r="H12" s="12" t="n">
        <v>3</v>
      </c>
      <c r="I12" s="15" t="s">
        <v>43</v>
      </c>
    </row>
    <row r="13" customFormat="false" ht="30" hidden="false" customHeight="true" outlineLevel="0" collapsed="false">
      <c r="A13" s="9" t="s">
        <v>44</v>
      </c>
      <c r="B13" s="10" t="n">
        <v>9</v>
      </c>
      <c r="C13" s="11" t="n">
        <v>0.5</v>
      </c>
      <c r="D13" s="12" t="n">
        <v>3</v>
      </c>
      <c r="E13" s="12" t="n">
        <v>3</v>
      </c>
      <c r="F13" s="12" t="n">
        <v>3</v>
      </c>
      <c r="G13" s="12" t="n">
        <v>3</v>
      </c>
      <c r="H13" s="12" t="n">
        <v>3</v>
      </c>
      <c r="I13" s="13" t="s">
        <v>45</v>
      </c>
    </row>
    <row r="14" customFormat="false" ht="25.5" hidden="false" customHeight="true" outlineLevel="0" collapsed="false">
      <c r="A14" s="16" t="s">
        <v>46</v>
      </c>
      <c r="B14" s="17" t="n">
        <f aca="false">SUM(B3:B13)</f>
        <v>100</v>
      </c>
      <c r="C14" s="18" t="n">
        <f aca="false">SUMPRODUCT($B$3:$B$13,C3:C13)/3</f>
        <v>42.6666666666667</v>
      </c>
      <c r="D14" s="19" t="n">
        <f aca="false">SUMPRODUCT($B$3:$B$13,D3:D13)/3</f>
        <v>96.6666666666667</v>
      </c>
      <c r="E14" s="19" t="n">
        <f aca="false">SUMPRODUCT($B$3:$B$13,E3:E13)/3</f>
        <v>94.6666666666667</v>
      </c>
      <c r="F14" s="19" t="n">
        <f aca="false">SUMPRODUCT($B$3:$B$13,F3:F13)/3</f>
        <v>96</v>
      </c>
      <c r="G14" s="19" t="n">
        <f aca="false">SUMPRODUCT($B$3:$B$13,G3:G13)/3</f>
        <v>94.8333333333333</v>
      </c>
      <c r="H14" s="19" t="n">
        <f aca="false">SUMPRODUCT($B$3:$B$13,H3:H13)/3</f>
        <v>95.1666666666667</v>
      </c>
      <c r="I14" s="20" t="s">
        <v>47</v>
      </c>
    </row>
    <row r="15" customFormat="false" ht="15" hidden="false" customHeight="false" outlineLevel="0" collapsed="false">
      <c r="A15" s="21" t="s">
        <v>48</v>
      </c>
      <c r="B15" s="22" t="n">
        <f aca="false">SUM(B3:B13)</f>
        <v>100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46"/>
  </cols>
  <sheetData>
    <row r="1" customFormat="false" ht="24" hidden="false" customHeight="true" outlineLevel="0" collapsed="false">
      <c r="A1" s="7" t="s">
        <v>49</v>
      </c>
      <c r="B1" s="7"/>
      <c r="C1" s="7"/>
    </row>
    <row r="2" customFormat="false" ht="15" hidden="false" customHeight="false" outlineLevel="0" collapsed="false">
      <c r="A2" s="8" t="s">
        <v>15</v>
      </c>
      <c r="B2" s="8" t="s">
        <v>50</v>
      </c>
      <c r="C2" s="8" t="s">
        <v>51</v>
      </c>
    </row>
    <row r="3" customFormat="false" ht="42" hidden="false" customHeight="true" outlineLevel="0" collapsed="false">
      <c r="A3" s="23" t="s">
        <v>24</v>
      </c>
      <c r="B3" s="24" t="s">
        <v>52</v>
      </c>
      <c r="C3" s="24" t="s">
        <v>53</v>
      </c>
    </row>
    <row r="4" customFormat="false" ht="42" hidden="false" customHeight="true" outlineLevel="0" collapsed="false">
      <c r="A4" s="25" t="s">
        <v>26</v>
      </c>
      <c r="B4" s="26" t="s">
        <v>54</v>
      </c>
      <c r="C4" s="26" t="s">
        <v>55</v>
      </c>
    </row>
    <row r="5" customFormat="false" ht="42" hidden="false" customHeight="true" outlineLevel="0" collapsed="false">
      <c r="A5" s="23" t="s">
        <v>56</v>
      </c>
      <c r="B5" s="24" t="s">
        <v>57</v>
      </c>
      <c r="C5" s="24" t="s">
        <v>58</v>
      </c>
    </row>
    <row r="6" customFormat="false" ht="42" hidden="false" customHeight="true" outlineLevel="0" collapsed="false">
      <c r="A6" s="25" t="s">
        <v>30</v>
      </c>
      <c r="B6" s="26" t="s">
        <v>59</v>
      </c>
      <c r="C6" s="26" t="s">
        <v>60</v>
      </c>
    </row>
    <row r="7" customFormat="false" ht="42" hidden="false" customHeight="true" outlineLevel="0" collapsed="false">
      <c r="A7" s="23" t="s">
        <v>32</v>
      </c>
      <c r="B7" s="24" t="s">
        <v>61</v>
      </c>
      <c r="C7" s="24" t="s">
        <v>62</v>
      </c>
    </row>
    <row r="8" customFormat="false" ht="42" hidden="false" customHeight="true" outlineLevel="0" collapsed="false">
      <c r="A8" s="25" t="s">
        <v>34</v>
      </c>
      <c r="B8" s="26" t="s">
        <v>63</v>
      </c>
      <c r="C8" s="26" t="s">
        <v>64</v>
      </c>
    </row>
    <row r="9" customFormat="false" ht="42" hidden="false" customHeight="true" outlineLevel="0" collapsed="false">
      <c r="A9" s="23" t="s">
        <v>36</v>
      </c>
      <c r="B9" s="24" t="s">
        <v>65</v>
      </c>
      <c r="C9" s="24" t="s">
        <v>66</v>
      </c>
    </row>
    <row r="10" customFormat="false" ht="42" hidden="false" customHeight="true" outlineLevel="0" collapsed="false">
      <c r="A10" s="25" t="s">
        <v>38</v>
      </c>
      <c r="B10" s="26" t="s">
        <v>67</v>
      </c>
      <c r="C10" s="26" t="s">
        <v>68</v>
      </c>
    </row>
    <row r="11" customFormat="false" ht="42" hidden="false" customHeight="true" outlineLevel="0" collapsed="false">
      <c r="A11" s="23" t="s">
        <v>40</v>
      </c>
      <c r="B11" s="24" t="s">
        <v>69</v>
      </c>
      <c r="C11" s="24" t="s">
        <v>70</v>
      </c>
    </row>
    <row r="12" customFormat="false" ht="42" hidden="false" customHeight="true" outlineLevel="0" collapsed="false">
      <c r="A12" s="25" t="s">
        <v>42</v>
      </c>
      <c r="B12" s="26" t="s">
        <v>71</v>
      </c>
      <c r="C12" s="26" t="s">
        <v>72</v>
      </c>
    </row>
    <row r="13" customFormat="false" ht="42" hidden="false" customHeight="true" outlineLevel="0" collapsed="false">
      <c r="A13" s="23" t="s">
        <v>44</v>
      </c>
      <c r="B13" s="24" t="s">
        <v>73</v>
      </c>
      <c r="C13" s="24" t="s">
        <v>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24" hidden="false" customHeight="true" outlineLevel="0" collapsed="false">
      <c r="A1" s="7" t="s">
        <v>75</v>
      </c>
      <c r="B1" s="7"/>
      <c r="C1" s="7"/>
      <c r="D1" s="7"/>
      <c r="E1" s="7"/>
      <c r="F1" s="7"/>
      <c r="G1" s="7"/>
    </row>
    <row r="2" customFormat="false" ht="23.85" hidden="false" customHeight="false" outlineLevel="0" collapsed="false">
      <c r="A2" s="8" t="s">
        <v>76</v>
      </c>
      <c r="B2" s="8" t="s">
        <v>77</v>
      </c>
      <c r="C2" s="8" t="s">
        <v>78</v>
      </c>
      <c r="D2" s="8" t="s">
        <v>79</v>
      </c>
      <c r="E2" s="8" t="s">
        <v>80</v>
      </c>
      <c r="F2" s="8" t="s">
        <v>81</v>
      </c>
      <c r="G2" s="8" t="s">
        <v>82</v>
      </c>
    </row>
    <row r="3" customFormat="false" ht="43.5" hidden="false" customHeight="true" outlineLevel="0" collapsed="false">
      <c r="A3" s="27" t="s">
        <v>83</v>
      </c>
      <c r="B3" s="28" t="s">
        <v>84</v>
      </c>
      <c r="C3" s="24" t="s">
        <v>85</v>
      </c>
      <c r="D3" s="24" t="s">
        <v>86</v>
      </c>
      <c r="E3" s="29" t="s">
        <v>87</v>
      </c>
      <c r="F3" s="24" t="s">
        <v>88</v>
      </c>
      <c r="G3" s="24" t="s">
        <v>89</v>
      </c>
    </row>
    <row r="4" customFormat="false" ht="43.5" hidden="false" customHeight="true" outlineLevel="0" collapsed="false">
      <c r="A4" s="27" t="s">
        <v>83</v>
      </c>
      <c r="B4" s="30" t="s">
        <v>90</v>
      </c>
      <c r="C4" s="26" t="s">
        <v>91</v>
      </c>
      <c r="D4" s="26" t="s">
        <v>92</v>
      </c>
      <c r="E4" s="31" t="s">
        <v>93</v>
      </c>
      <c r="F4" s="26" t="s">
        <v>94</v>
      </c>
      <c r="G4" s="26" t="s">
        <v>89</v>
      </c>
    </row>
    <row r="5" customFormat="false" ht="43.5" hidden="false" customHeight="true" outlineLevel="0" collapsed="false">
      <c r="A5" s="27" t="s">
        <v>83</v>
      </c>
      <c r="B5" s="28" t="s">
        <v>95</v>
      </c>
      <c r="C5" s="24" t="s">
        <v>96</v>
      </c>
      <c r="D5" s="24" t="s">
        <v>97</v>
      </c>
      <c r="E5" s="29" t="s">
        <v>93</v>
      </c>
      <c r="F5" s="24" t="s">
        <v>94</v>
      </c>
      <c r="G5" s="24" t="s">
        <v>98</v>
      </c>
    </row>
    <row r="6" customFormat="false" ht="43.5" hidden="false" customHeight="true" outlineLevel="0" collapsed="false">
      <c r="A6" s="32" t="s">
        <v>99</v>
      </c>
      <c r="B6" s="30" t="s">
        <v>100</v>
      </c>
      <c r="C6" s="26" t="s">
        <v>20</v>
      </c>
      <c r="D6" s="26" t="s">
        <v>101</v>
      </c>
      <c r="E6" s="31" t="s">
        <v>102</v>
      </c>
      <c r="F6" s="26" t="s">
        <v>103</v>
      </c>
      <c r="G6" s="26" t="s">
        <v>104</v>
      </c>
    </row>
    <row r="7" customFormat="false" ht="43.5" hidden="false" customHeight="true" outlineLevel="0" collapsed="false">
      <c r="A7" s="32" t="s">
        <v>99</v>
      </c>
      <c r="B7" s="28" t="s">
        <v>105</v>
      </c>
      <c r="C7" s="24" t="s">
        <v>21</v>
      </c>
      <c r="D7" s="24" t="s">
        <v>106</v>
      </c>
      <c r="E7" s="29" t="s">
        <v>93</v>
      </c>
      <c r="F7" s="24" t="s">
        <v>107</v>
      </c>
      <c r="G7" s="24" t="s">
        <v>108</v>
      </c>
    </row>
    <row r="8" customFormat="false" ht="43.5" hidden="false" customHeight="true" outlineLevel="0" collapsed="false">
      <c r="A8" s="32" t="s">
        <v>99</v>
      </c>
      <c r="B8" s="30" t="s">
        <v>109</v>
      </c>
      <c r="C8" s="26" t="s">
        <v>110</v>
      </c>
      <c r="D8" s="26" t="s">
        <v>111</v>
      </c>
      <c r="E8" s="31" t="s">
        <v>112</v>
      </c>
      <c r="F8" s="26" t="s">
        <v>113</v>
      </c>
      <c r="G8" s="26" t="s">
        <v>114</v>
      </c>
    </row>
    <row r="9" customFormat="false" ht="43.5" hidden="false" customHeight="true" outlineLevel="0" collapsed="false">
      <c r="A9" s="32" t="s">
        <v>99</v>
      </c>
      <c r="B9" s="28" t="s">
        <v>115</v>
      </c>
      <c r="C9" s="24" t="s">
        <v>116</v>
      </c>
      <c r="D9" s="24" t="s">
        <v>117</v>
      </c>
      <c r="E9" s="29" t="s">
        <v>93</v>
      </c>
      <c r="F9" s="24" t="s">
        <v>118</v>
      </c>
      <c r="G9" s="24" t="s">
        <v>119</v>
      </c>
    </row>
    <row r="10" customFormat="false" ht="43.5" hidden="false" customHeight="true" outlineLevel="0" collapsed="false">
      <c r="A10" s="32" t="s">
        <v>99</v>
      </c>
      <c r="B10" s="30" t="s">
        <v>120</v>
      </c>
      <c r="C10" s="26" t="s">
        <v>96</v>
      </c>
      <c r="D10" s="26" t="s">
        <v>121</v>
      </c>
      <c r="E10" s="31" t="s">
        <v>93</v>
      </c>
      <c r="F10" s="26" t="s">
        <v>122</v>
      </c>
      <c r="G10" s="26" t="s">
        <v>123</v>
      </c>
    </row>
    <row r="11" customFormat="false" ht="43.5" hidden="false" customHeight="true" outlineLevel="0" collapsed="false">
      <c r="A11" s="8" t="s">
        <v>124</v>
      </c>
      <c r="B11" s="28" t="s">
        <v>125</v>
      </c>
      <c r="C11" s="24" t="s">
        <v>19</v>
      </c>
      <c r="D11" s="24" t="s">
        <v>126</v>
      </c>
      <c r="E11" s="29" t="s">
        <v>112</v>
      </c>
      <c r="F11" s="24" t="s">
        <v>88</v>
      </c>
      <c r="G11" s="24" t="s">
        <v>127</v>
      </c>
    </row>
    <row r="12" customFormat="false" ht="43.5" hidden="false" customHeight="true" outlineLevel="0" collapsed="false">
      <c r="A12" s="8" t="s">
        <v>124</v>
      </c>
      <c r="B12" s="30" t="s">
        <v>128</v>
      </c>
      <c r="C12" s="26" t="s">
        <v>129</v>
      </c>
      <c r="D12" s="26" t="s">
        <v>130</v>
      </c>
      <c r="E12" s="31" t="s">
        <v>131</v>
      </c>
      <c r="F12" s="26" t="s">
        <v>88</v>
      </c>
      <c r="G12" s="26" t="s">
        <v>132</v>
      </c>
    </row>
    <row r="13" customFormat="false" ht="43.5" hidden="false" customHeight="true" outlineLevel="0" collapsed="false">
      <c r="A13" s="8" t="s">
        <v>124</v>
      </c>
      <c r="B13" s="28" t="s">
        <v>133</v>
      </c>
      <c r="C13" s="24" t="s">
        <v>18</v>
      </c>
      <c r="D13" s="24" t="s">
        <v>134</v>
      </c>
      <c r="E13" s="29" t="s">
        <v>87</v>
      </c>
      <c r="F13" s="24" t="s">
        <v>135</v>
      </c>
      <c r="G13" s="24" t="s">
        <v>123</v>
      </c>
    </row>
    <row r="14" customFormat="false" ht="43.5" hidden="false" customHeight="true" outlineLevel="0" collapsed="false">
      <c r="A14" s="8" t="s">
        <v>124</v>
      </c>
      <c r="B14" s="30" t="s">
        <v>136</v>
      </c>
      <c r="C14" s="26" t="s">
        <v>137</v>
      </c>
      <c r="D14" s="26" t="s">
        <v>138</v>
      </c>
      <c r="E14" s="31" t="s">
        <v>87</v>
      </c>
      <c r="F14" s="26" t="s">
        <v>139</v>
      </c>
      <c r="G14" s="26" t="s">
        <v>119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2026-07-05T16:31:41Z</dcterms:created>
  <dc:creator>openpyxl</dc:creator>
  <dc:description/>
  <dc:language>en-US</dc:language>
  <cp:lastModifiedBy/>
  <dcterms:modified xsi:type="dcterms:W3CDTF">2026-07-05T16:31:41Z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